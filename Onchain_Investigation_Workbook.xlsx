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ddress_Book" sheetId="2" state="visible" r:id="rId4"/>
    <sheet name="Raw_Transactions" sheetId="3" state="visible" r:id="rId5"/>
    <sheet name="Fund_Flow_Analysis" sheetId="4" state="visible" r:id="rId6"/>
  </sheets>
  <definedNames>
    <definedName function="false" hidden="true" localSheetId="1" name="_xlnm._FilterDatabase" vbProcedure="false">Address_Book!$A$1:$D$14</definedName>
    <definedName function="false" hidden="true" localSheetId="3" name="_xlnm._FilterDatabase" vbProcedure="false">Fund_Flow_Analysis!$A$1:$O$15</definedName>
    <definedName function="false" hidden="true" localSheetId="2" name="_xlnm._FilterDatabase" vbProcedure="false">Raw_Transactions!$A$1:$J$15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<sst xmlns="http://schemas.openxmlformats.org/spreadsheetml/2006/main" count="170" uniqueCount="119">
  <si>
    <t xml:space="preserve">On-Chain Transaction Investigation — Suspicious Wallet Fund-Flow Analysis</t>
  </si>
  <si>
    <t xml:space="preserve">A no-code blockchain forensics workbook tracing a suspicious inbound transfer of 150 ETH through a 'peel chain' — the classic on-chain layering pattern where a wallet repeatedly splits off small amounts while the bulk of funds continues moving toward a cash-out point.</t>
  </si>
  <si>
    <t xml:space="preserve">IMPORTANT DATA NOTE: every address and transaction hash in this workbook is fictional — deterministically generated to look like real hex values, but none correspond to any real blockchain transaction, wallet, exchange, or mixing service. The 'Mixer', 'Exchange Alpha' and 'Exchange Beta' labels are generic illustrative roles, not references to any specific real protocol or company. What IS real is the CSV column structure — it mirrors Etherscan's actual 'Export Transactions' feature exactly, so the analytical approach here transfers directly to a live investigation using a real exported CSV.</t>
  </si>
  <si>
    <t xml:space="preserve">How to use this workbook:</t>
  </si>
  <si>
    <t xml:space="preserve">  1. 'Address_Book' — every wallet involved in the case and what role it plays.</t>
  </si>
  <si>
    <t xml:space="preserve">  2. 'Raw_Transactions' — the 14-transaction case file, in Etherscan's own export format.</t>
  </si>
  <si>
    <t xml:space="preserve">  3. 'Fund_Flow_Analysis' — the investigative engine: every transaction enriched with counterparty labels and formula-driven typology flags.</t>
  </si>
  <si>
    <t xml:space="preserve">Typologies flagged:</t>
  </si>
  <si>
    <t xml:space="preserve">  - Peel chain — a small amount split off at each hop while the bulk continues onward, the classic technique for obscuring the total value in motion.</t>
  </si>
  <si>
    <t xml:space="preserve">  - Mixer interaction — funds sent to a non-custodial mixing service, which breaks deterministic on-chain traceability past that point.</t>
  </si>
  <si>
    <t xml:space="preserve">  - Exchange cash-out — funds reaching a known exchange deposit address, the point where an off-chain subpoena could identify a real-world identity.</t>
  </si>
  <si>
    <t xml:space="preserve">  - Rapid layering velocity — hops occurring in quick succession, consistent with automated or scripted fund movement rather than ordinary wallet activity.</t>
  </si>
  <si>
    <t xml:space="preserve">  - Exchange-side smurfing — the three peeled amounts converging on the SAME exchange deposit address within minutes of each other, which is itself a pattern worth flagging even though each individual amount is small.</t>
  </si>
  <si>
    <t xml:space="preserve">Key formulas used (all standard Excel, no add-ins, no VBA):</t>
  </si>
  <si>
    <t xml:space="preserve">  - INDEX/MATCH — resolving each transaction's From/To address into its Address_Book label and entity type.</t>
  </si>
  <si>
    <t xml:space="preserve">  - Nested IF / OR / ISNUMBER+SEARCH — flagging mixer interaction, exchange cash-out, and peel-vs-bulk transactions based on counterparty type and relative transaction size.</t>
  </si>
  <si>
    <t xml:space="preserve">  - Time-difference arithmetic — flagging rapid succession between hops (a wallet moving funds within minutes of receiving them).</t>
  </si>
  <si>
    <t xml:space="preserve">  - Conditional formatting — highlighting mixer and exchange rows directly in the data.</t>
  </si>
  <si>
    <t xml:space="preserve">A note on the mixer: this is the one honest limitation that matters most in a real investigation. On-chain analysis can show that 90.0 ETH entered the mixing service and that 88.1 ETH left a withdrawal address from the same service roughly 5 hours later — an amount and timing consistent with the deposit, net of a typical mixer fee. That is a correlation an investigator can document and act on, but it is NOT a deterministic on-chain proof of linkage the way every other hop in this case is. The workbook and the investigation report both flag this distinction explicitly rather than overstating what the blockchain data alone can prove.</t>
  </si>
  <si>
    <t xml:space="preserve">address</t>
  </si>
  <si>
    <t xml:space="preserve">label</t>
  </si>
  <si>
    <t xml:space="preserve">entity_type</t>
  </si>
  <si>
    <t xml:space="preserve">notes</t>
  </si>
  <si>
    <t xml:space="preserve">0x41cf6794ba4200b839c53531555f0f3998df4cbb</t>
  </si>
  <si>
    <t xml:space="preserve">Unattributed Source Wallet</t>
  </si>
  <si>
    <t xml:space="preserve">Unattributed</t>
  </si>
  <si>
    <t xml:space="preserve">Origin of the initial 150.0 ETH inbound transfer; no prior on-chain history consistent with legitimate commercial activity. Possible phishing/scam proceeds based on inflow pattern.</t>
  </si>
  <si>
    <t xml:space="preserve">0xa9491f4c1bf7b0cffbadcba2db8f028e4b3f2867</t>
  </si>
  <si>
    <t xml:space="preserve">Subject Wallet</t>
  </si>
  <si>
    <t xml:space="preserve">Subject</t>
  </si>
  <si>
    <t xml:space="preserve">Wallet under investigation. Received the initial suspicious inbound transfer and began fund movement within 45 minutes.</t>
  </si>
  <si>
    <t xml:space="preserve">0xd411435a721021cb7aeddf4d2a17fe6c2886edce</t>
  </si>
  <si>
    <t xml:space="preserve">Intermediate Wallet 1</t>
  </si>
  <si>
    <t xml:space="preserve">Intermediate</t>
  </si>
  <si>
    <t xml:space="preserve">First-hop relay wallet. No prior transaction history before receiving funds in this case.</t>
  </si>
  <si>
    <t xml:space="preserve">0xe618cde218b4942ea477fdc0842004c7034eccbf</t>
  </si>
  <si>
    <t xml:space="preserve">Intermediate Wallet 2</t>
  </si>
  <si>
    <t xml:space="preserve">Second-hop relay wallet.</t>
  </si>
  <si>
    <t xml:space="preserve">0x0b376ba92b86cde173e771d9e0196f67e994879e</t>
  </si>
  <si>
    <t xml:space="preserve">Intermediate Wallet 3</t>
  </si>
  <si>
    <t xml:space="preserve">Third-hop relay wallet; splits funds between a mixing service and a direct path.</t>
  </si>
  <si>
    <t xml:space="preserve">0x35adcc71f4253aa1c9d55e066f9f94f455509d00</t>
  </si>
  <si>
    <t xml:space="preserve">Peel Wallet A</t>
  </si>
  <si>
    <t xml:space="preserve">Peel Recipient</t>
  </si>
  <si>
    <t xml:space="preserve">Received a small 'peeled' amount from the Subject Wallet; later consolidated to an exchange deposit address.</t>
  </si>
  <si>
    <t xml:space="preserve">0x6fb424c245eb8726beb7a01b86da3c33242e4628</t>
  </si>
  <si>
    <t xml:space="preserve">Peel Wallet B</t>
  </si>
  <si>
    <t xml:space="preserve">Received a small 'peeled' amount from Intermediate Wallet 1.</t>
  </si>
  <si>
    <t xml:space="preserve">0x74b6c09c13fc818683fbe392ef0f9e33b18b1823</t>
  </si>
  <si>
    <t xml:space="preserve">Peel Wallet C</t>
  </si>
  <si>
    <t xml:space="preserve">Received a small 'peeled' amount from Intermediate Wallet 2.</t>
  </si>
  <si>
    <t xml:space="preserve">0xf36d66efd7ec31ea958ad172a27670d604596fe6</t>
  </si>
  <si>
    <t xml:space="preserve">Mixing Service - Deposit Address</t>
  </si>
  <si>
    <t xml:space="preserve">Mixer</t>
  </si>
  <si>
    <t xml:space="preserve">Known non-custodial mixing service deposit address (generic/illustrative label). Funds sent here cannot be deterministically traced on-chain past this point.</t>
  </si>
  <si>
    <t xml:space="preserve">0xb8dbc8f75bca77f9b9d225d5d3f81bd35cb8e53d</t>
  </si>
  <si>
    <t xml:space="preserve">Mixing Service - Withdrawal Address</t>
  </si>
  <si>
    <t xml:space="preserve">A withdrawal-side address from the same mixing service pool. Correlation to the deposit above is based on timing and amount proximity only — NOT a proven on-chain link.</t>
  </si>
  <si>
    <t xml:space="preserve">0xebc9b532930cb42777690502029973a8c907eeb5</t>
  </si>
  <si>
    <t xml:space="preserve">Consolidation Wallet</t>
  </si>
  <si>
    <t xml:space="preserve">Receives funds from both the direct (non-mixed) path and the suspected mixer outflow before final cash-out.</t>
  </si>
  <si>
    <t xml:space="preserve">0xc2778c246a47f355bfa6354c256725ecdef9a48a</t>
  </si>
  <si>
    <t xml:space="preserve">Exchange Alpha - Deposit Address</t>
  </si>
  <si>
    <t xml:space="preserve">Exchange</t>
  </si>
  <si>
    <t xml:space="preserve">Known hot wallet / deposit address cluster attributed to a centralized exchange (illustrative label 'Exchange Alpha'). Primary cash-out point identified in this case.</t>
  </si>
  <si>
    <t xml:space="preserve">0xd521333e61d8f3e7e17a4ba6bda7a480916ed456</t>
  </si>
  <si>
    <t xml:space="preserve">Exchange Beta - Deposit Address</t>
  </si>
  <si>
    <t xml:space="preserve">Known hot wallet / deposit address cluster attributed to a second centralized exchange (illustrative label 'Exchange Beta'). Secondary cash-out point for peeled amounts.</t>
  </si>
  <si>
    <t xml:space="preserve">Txhash</t>
  </si>
  <si>
    <t xml:space="preserve">Blockno</t>
  </si>
  <si>
    <t xml:space="preserve">DateTime (UTC)</t>
  </si>
  <si>
    <t xml:space="preserve">From</t>
  </si>
  <si>
    <t xml:space="preserve">To</t>
  </si>
  <si>
    <t xml:space="preserve">Value (ETH)</t>
  </si>
  <si>
    <t xml:space="preserve">TxnFee (ETH)</t>
  </si>
  <si>
    <t xml:space="preserve">Historical $Price/Eth</t>
  </si>
  <si>
    <t xml:space="preserve">Value (USD)</t>
  </si>
  <si>
    <t xml:space="preserve">Method</t>
  </si>
  <si>
    <t xml:space="preserve">0x7a10694e97229d8a0d8ff96588926653190d54f2de703b91a5cde3faad506697</t>
  </si>
  <si>
    <t xml:space="preserve">2026-04-02 09:02:11</t>
  </si>
  <si>
    <t xml:space="preserve">Transfer</t>
  </si>
  <si>
    <t xml:space="preserve">0x7073968093e899fff80006110147300a3482cecdad8d8ab5bb70bedb5c876b6d</t>
  </si>
  <si>
    <t xml:space="preserve">2026-04-02 09:47:55</t>
  </si>
  <si>
    <t xml:space="preserve">0x2a6d2d4a89db759e0e6d0135390a9ba572d510bfaff1cd0b2877c2f43272ab53</t>
  </si>
  <si>
    <t xml:space="preserve">2026-04-02 09:49:20</t>
  </si>
  <si>
    <t xml:space="preserve">0xc4ab41e91958f4139d15d20d757faca501fcfa5e4462cc5a4afcaedf5d7e9a9d</t>
  </si>
  <si>
    <t xml:space="preserve">2026-04-02 11:15:02</t>
  </si>
  <si>
    <t xml:space="preserve">0x7eac2fac3030ebc17c5214b4f25f23edae8859c2151fecd6d6a491074af77740</t>
  </si>
  <si>
    <t xml:space="preserve">2026-04-02 11:18:47</t>
  </si>
  <si>
    <t xml:space="preserve">0xd031398196014ed9d40cd2dd0547faa1cbf622a7359d3fd3cdd84686c6ebb24f</t>
  </si>
  <si>
    <t xml:space="preserve">2026-04-02 14:40:33</t>
  </si>
  <si>
    <t xml:space="preserve">0x3e1f94f29e95acb185b4907e14ffa27027ef1b26475c06153fc1ca448118212f</t>
  </si>
  <si>
    <t xml:space="preserve">2026-04-02 14:44:10</t>
  </si>
  <si>
    <t xml:space="preserve">0xa6121dbdc75af558752b5bc77970b78006f97da30f954dd6bb0081c1bee828bf</t>
  </si>
  <si>
    <t xml:space="preserve">2026-04-02 22:10:05</t>
  </si>
  <si>
    <t xml:space="preserve">0xc484c568eede20400f188af886d2793b1b01b7e105d6172f284b60e197871d85</t>
  </si>
  <si>
    <t xml:space="preserve">2026-04-02 22:16:41</t>
  </si>
  <si>
    <t xml:space="preserve">0xab3aba55b08cb31d4f832f990f189e6e1def2287a7c1612d1748e675333fd59e</t>
  </si>
  <si>
    <t xml:space="preserve">2026-04-03 03:30:18</t>
  </si>
  <si>
    <t xml:space="preserve">0x2fbaf2b63212613c94e4e64109b11f8426c5bf47f0e50444aa6081d42ed2785a</t>
  </si>
  <si>
    <t xml:space="preserve">2026-04-03 05:05:52</t>
  </si>
  <si>
    <t xml:space="preserve">0xffad7f17ef949a6dfe3f042aed5777d10044a0709404b26760146a8be39cd962</t>
  </si>
  <si>
    <t xml:space="preserve">2026-04-03 08:00:09</t>
  </si>
  <si>
    <t xml:space="preserve">0x78aa18076941e938503eb54036aca0d877590909c7c6894aaff45650cae5f655</t>
  </si>
  <si>
    <t xml:space="preserve">2026-04-03 08:05:37</t>
  </si>
  <si>
    <t xml:space="preserve">0x403907a08a14fd30f79bddf9e94c07be0a084f707a6204d631af216e1160a226</t>
  </si>
  <si>
    <t xml:space="preserve">2026-04-03 08:11:14</t>
  </si>
  <si>
    <t xml:space="preserve">hop</t>
  </si>
  <si>
    <t xml:space="preserve">from_label</t>
  </si>
  <si>
    <t xml:space="preserve">from_type</t>
  </si>
  <si>
    <t xml:space="preserve">to_label</t>
  </si>
  <si>
    <t xml:space="preserve">to_type</t>
  </si>
  <si>
    <t xml:space="preserve">pct_of_case_total</t>
  </si>
  <si>
    <t xml:space="preserve">minutes_since_prior_txn</t>
  </si>
  <si>
    <t xml:space="preserve">flag_mixer_interaction</t>
  </si>
  <si>
    <t xml:space="preserve">flag_exchange_cashout</t>
  </si>
  <si>
    <t xml:space="preserve">flag_peel_transaction</t>
  </si>
  <si>
    <t xml:space="preserve">flag_rapid_succession</t>
  </si>
  <si>
    <t xml:space="preserve">investigative_note</t>
  </si>
</sst>
</file>

<file path=xl/styles.xml><?xml version="1.0" encoding="utf-8"?>
<styleSheet xmlns="http://schemas.openxmlformats.org/spreadsheetml/2006/main">
  <numFmts count="5">
    <numFmt numFmtId="164" formatCode="General"/>
    <numFmt numFmtId="165" formatCode="0.0000"/>
    <numFmt numFmtId="166" formatCode="\$#,##0.00"/>
    <numFmt numFmtId="167" formatCode="0.0%"/>
    <numFmt numFmtId="168" formatCode="0"/>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color rgb="FFFFFFFF"/>
      <name val="Arial"/>
      <family val="0"/>
      <charset val="1"/>
    </font>
    <font>
      <sz val="9"/>
      <name val="Consolas"/>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35" hidden="false" customHeight="false" outlineLevel="0" collapsed="false">
      <c r="A1" s="2" t="s">
        <v>0</v>
      </c>
    </row>
    <row r="3" customFormat="false" ht="35.05" hidden="false" customHeight="false" outlineLevel="0" collapsed="false">
      <c r="A3" s="3" t="s">
        <v>1</v>
      </c>
    </row>
    <row r="4" customFormat="false" ht="15" hidden="false" customHeight="false" outlineLevel="0" collapsed="false">
      <c r="A4" s="3"/>
    </row>
    <row r="5" customFormat="false" ht="57.45" hidden="false" customHeight="false" outlineLevel="0" collapsed="false">
      <c r="A5" s="3" t="s">
        <v>2</v>
      </c>
    </row>
    <row r="6" customFormat="false" ht="15" hidden="false" customHeight="false" outlineLevel="0" collapsed="false">
      <c r="A6" s="3"/>
    </row>
    <row r="7" customFormat="false" ht="15" hidden="false" customHeight="false" outlineLevel="0" collapsed="false">
      <c r="A7" s="3" t="s">
        <v>3</v>
      </c>
    </row>
    <row r="8" customFormat="false" ht="15" hidden="false" customHeight="false" outlineLevel="0" collapsed="false">
      <c r="A8" s="3" t="s">
        <v>4</v>
      </c>
    </row>
    <row r="9" customFormat="false" ht="15" hidden="false" customHeight="false" outlineLevel="0" collapsed="false">
      <c r="A9" s="3" t="s">
        <v>5</v>
      </c>
    </row>
    <row r="10" customFormat="false" ht="23.85" hidden="false" customHeight="false" outlineLevel="0" collapsed="false">
      <c r="A10" s="3" t="s">
        <v>6</v>
      </c>
    </row>
    <row r="11" customFormat="false" ht="15" hidden="false" customHeight="false" outlineLevel="0" collapsed="false">
      <c r="A11" s="3"/>
    </row>
    <row r="12" customFormat="false" ht="15" hidden="false" customHeight="false" outlineLevel="0" collapsed="false">
      <c r="A12" s="3" t="s">
        <v>7</v>
      </c>
    </row>
    <row r="13" customFormat="false" ht="23.85" hidden="false" customHeight="false" outlineLevel="0" collapsed="false">
      <c r="A13" s="3" t="s">
        <v>8</v>
      </c>
    </row>
    <row r="14" customFormat="false" ht="15" hidden="false" customHeight="false" outlineLevel="0" collapsed="false">
      <c r="A14" s="3" t="s">
        <v>9</v>
      </c>
    </row>
    <row r="15" customFormat="false" ht="23.85" hidden="false" customHeight="false" outlineLevel="0" collapsed="false">
      <c r="A15" s="3" t="s">
        <v>10</v>
      </c>
    </row>
    <row r="16" customFormat="false" ht="23.85" hidden="false" customHeight="false" outlineLevel="0" collapsed="false">
      <c r="A16" s="3" t="s">
        <v>11</v>
      </c>
    </row>
    <row r="17" customFormat="false" ht="23.85" hidden="false" customHeight="false" outlineLevel="0" collapsed="false">
      <c r="A17" s="3" t="s">
        <v>12</v>
      </c>
    </row>
    <row r="18" customFormat="false" ht="15" hidden="false" customHeight="false" outlineLevel="0" collapsed="false">
      <c r="A18" s="3"/>
    </row>
    <row r="19" customFormat="false" ht="15" hidden="false" customHeight="false" outlineLevel="0" collapsed="false">
      <c r="A19" s="3" t="s">
        <v>13</v>
      </c>
    </row>
    <row r="20" customFormat="false" ht="15" hidden="false" customHeight="false" outlineLevel="0" collapsed="false">
      <c r="A20" s="3" t="s">
        <v>14</v>
      </c>
    </row>
    <row r="21" customFormat="false" ht="23.85" hidden="false" customHeight="false" outlineLevel="0" collapsed="false">
      <c r="A21" s="3" t="s">
        <v>15</v>
      </c>
    </row>
    <row r="22" customFormat="false" ht="15" hidden="false" customHeight="false" outlineLevel="0" collapsed="false">
      <c r="A22" s="3" t="s">
        <v>16</v>
      </c>
    </row>
    <row r="23" customFormat="false" ht="15" hidden="false" customHeight="false" outlineLevel="0" collapsed="false">
      <c r="A23" s="3" t="s">
        <v>17</v>
      </c>
    </row>
    <row r="24" customFormat="false" ht="15" hidden="false" customHeight="false" outlineLevel="0" collapsed="false">
      <c r="A24" s="3"/>
    </row>
    <row r="25" customFormat="false" ht="57.45" hidden="false" customHeight="false" outlineLevel="0" collapsed="false">
      <c r="A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34"/>
    <col collapsed="false" customWidth="true" hidden="false" outlineLevel="0" max="3" min="3" style="1" width="16"/>
    <col collapsed="false" customWidth="true" hidden="false" outlineLevel="0" max="4" min="4" style="1" width="60"/>
  </cols>
  <sheetData>
    <row r="1" customFormat="false" ht="15" hidden="false" customHeight="false" outlineLevel="0" collapsed="false">
      <c r="A1" s="4" t="s">
        <v>19</v>
      </c>
      <c r="B1" s="4" t="s">
        <v>20</v>
      </c>
      <c r="C1" s="4" t="s">
        <v>21</v>
      </c>
      <c r="D1" s="4" t="s">
        <v>22</v>
      </c>
    </row>
    <row r="2" customFormat="false" ht="15" hidden="false" customHeight="false" outlineLevel="0" collapsed="false">
      <c r="A2" s="5" t="s">
        <v>23</v>
      </c>
      <c r="B2" s="6" t="s">
        <v>24</v>
      </c>
      <c r="C2" s="6" t="s">
        <v>25</v>
      </c>
      <c r="D2" s="6" t="s">
        <v>26</v>
      </c>
    </row>
    <row r="3" customFormat="false" ht="15" hidden="false" customHeight="false" outlineLevel="0" collapsed="false">
      <c r="A3" s="5" t="s">
        <v>27</v>
      </c>
      <c r="B3" s="6" t="s">
        <v>28</v>
      </c>
      <c r="C3" s="6" t="s">
        <v>29</v>
      </c>
      <c r="D3" s="6" t="s">
        <v>30</v>
      </c>
    </row>
    <row r="4" customFormat="false" ht="15" hidden="false" customHeight="false" outlineLevel="0" collapsed="false">
      <c r="A4" s="5" t="s">
        <v>31</v>
      </c>
      <c r="B4" s="6" t="s">
        <v>32</v>
      </c>
      <c r="C4" s="6" t="s">
        <v>33</v>
      </c>
      <c r="D4" s="6" t="s">
        <v>34</v>
      </c>
    </row>
    <row r="5" customFormat="false" ht="15" hidden="false" customHeight="false" outlineLevel="0" collapsed="false">
      <c r="A5" s="5" t="s">
        <v>35</v>
      </c>
      <c r="B5" s="6" t="s">
        <v>36</v>
      </c>
      <c r="C5" s="6" t="s">
        <v>33</v>
      </c>
      <c r="D5" s="6" t="s">
        <v>37</v>
      </c>
    </row>
    <row r="6" customFormat="false" ht="15" hidden="false" customHeight="false" outlineLevel="0" collapsed="false">
      <c r="A6" s="5" t="s">
        <v>38</v>
      </c>
      <c r="B6" s="6" t="s">
        <v>39</v>
      </c>
      <c r="C6" s="6" t="s">
        <v>33</v>
      </c>
      <c r="D6" s="6" t="s">
        <v>40</v>
      </c>
    </row>
    <row r="7" customFormat="false" ht="15" hidden="false" customHeight="false" outlineLevel="0" collapsed="false">
      <c r="A7" s="5" t="s">
        <v>41</v>
      </c>
      <c r="B7" s="6" t="s">
        <v>42</v>
      </c>
      <c r="C7" s="6" t="s">
        <v>43</v>
      </c>
      <c r="D7" s="6" t="s">
        <v>44</v>
      </c>
    </row>
    <row r="8" customFormat="false" ht="15" hidden="false" customHeight="false" outlineLevel="0" collapsed="false">
      <c r="A8" s="5" t="s">
        <v>45</v>
      </c>
      <c r="B8" s="6" t="s">
        <v>46</v>
      </c>
      <c r="C8" s="6" t="s">
        <v>43</v>
      </c>
      <c r="D8" s="6" t="s">
        <v>47</v>
      </c>
    </row>
    <row r="9" customFormat="false" ht="15" hidden="false" customHeight="false" outlineLevel="0" collapsed="false">
      <c r="A9" s="5" t="s">
        <v>48</v>
      </c>
      <c r="B9" s="6" t="s">
        <v>49</v>
      </c>
      <c r="C9" s="6" t="s">
        <v>43</v>
      </c>
      <c r="D9" s="6" t="s">
        <v>50</v>
      </c>
    </row>
    <row r="10" customFormat="false" ht="15" hidden="false" customHeight="false" outlineLevel="0" collapsed="false">
      <c r="A10" s="5" t="s">
        <v>51</v>
      </c>
      <c r="B10" s="6" t="s">
        <v>52</v>
      </c>
      <c r="C10" s="6" t="s">
        <v>53</v>
      </c>
      <c r="D10" s="6" t="s">
        <v>54</v>
      </c>
    </row>
    <row r="11" customFormat="false" ht="15" hidden="false" customHeight="false" outlineLevel="0" collapsed="false">
      <c r="A11" s="5" t="s">
        <v>55</v>
      </c>
      <c r="B11" s="6" t="s">
        <v>56</v>
      </c>
      <c r="C11" s="6" t="s">
        <v>53</v>
      </c>
      <c r="D11" s="6" t="s">
        <v>57</v>
      </c>
    </row>
    <row r="12" customFormat="false" ht="15" hidden="false" customHeight="false" outlineLevel="0" collapsed="false">
      <c r="A12" s="5" t="s">
        <v>58</v>
      </c>
      <c r="B12" s="6" t="s">
        <v>59</v>
      </c>
      <c r="C12" s="6" t="s">
        <v>33</v>
      </c>
      <c r="D12" s="6" t="s">
        <v>60</v>
      </c>
    </row>
    <row r="13" customFormat="false" ht="15" hidden="false" customHeight="false" outlineLevel="0" collapsed="false">
      <c r="A13" s="5" t="s">
        <v>61</v>
      </c>
      <c r="B13" s="6" t="s">
        <v>62</v>
      </c>
      <c r="C13" s="6" t="s">
        <v>63</v>
      </c>
      <c r="D13" s="6" t="s">
        <v>64</v>
      </c>
    </row>
    <row r="14" customFormat="false" ht="15" hidden="false" customHeight="false" outlineLevel="0" collapsed="false">
      <c r="A14" s="5" t="s">
        <v>65</v>
      </c>
      <c r="B14" s="6" t="s">
        <v>66</v>
      </c>
      <c r="C14" s="6" t="s">
        <v>63</v>
      </c>
      <c r="D14" s="6" t="s">
        <v>67</v>
      </c>
    </row>
  </sheetData>
  <autoFilter ref="A1: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
    <col collapsed="false" customWidth="true" hidden="false" outlineLevel="0" max="3" min="3" style="1" width="19"/>
    <col collapsed="false" customWidth="true" hidden="false" outlineLevel="0" max="5" min="4" style="1" width="24"/>
    <col collapsed="false" customWidth="true" hidden="false" outlineLevel="0" max="7" min="6" style="1" width="12"/>
    <col collapsed="false" customWidth="true" hidden="false" outlineLevel="0" max="8" min="8" style="1" width="16"/>
    <col collapsed="false" customWidth="true" hidden="false" outlineLevel="0" max="9" min="9" style="1" width="14"/>
    <col collapsed="false" customWidth="true" hidden="false" outlineLevel="0" max="10" min="10" style="1" width="11"/>
  </cols>
  <sheetData>
    <row r="1" customFormat="false" ht="23.85" hidden="false" customHeight="false" outlineLevel="0" collapsed="false">
      <c r="A1" s="4" t="s">
        <v>68</v>
      </c>
      <c r="B1" s="4" t="s">
        <v>69</v>
      </c>
      <c r="C1" s="4" t="s">
        <v>70</v>
      </c>
      <c r="D1" s="4" t="s">
        <v>71</v>
      </c>
      <c r="E1" s="4" t="s">
        <v>72</v>
      </c>
      <c r="F1" s="4" t="s">
        <v>73</v>
      </c>
      <c r="G1" s="4" t="s">
        <v>74</v>
      </c>
      <c r="H1" s="4" t="s">
        <v>75</v>
      </c>
      <c r="I1" s="4" t="s">
        <v>76</v>
      </c>
      <c r="J1" s="4" t="s">
        <v>77</v>
      </c>
    </row>
    <row r="2" customFormat="false" ht="15" hidden="false" customHeight="false" outlineLevel="0" collapsed="false">
      <c r="A2" s="5" t="s">
        <v>78</v>
      </c>
      <c r="B2" s="6" t="n">
        <v>19281004</v>
      </c>
      <c r="C2" s="6" t="s">
        <v>79</v>
      </c>
      <c r="D2" s="5" t="s">
        <v>23</v>
      </c>
      <c r="E2" s="5" t="s">
        <v>27</v>
      </c>
      <c r="F2" s="7" t="n">
        <v>150</v>
      </c>
      <c r="G2" s="7" t="n">
        <v>0.0041</v>
      </c>
      <c r="H2" s="8" t="n">
        <v>2410</v>
      </c>
      <c r="I2" s="8" t="n">
        <v>361500</v>
      </c>
      <c r="J2" s="6" t="s">
        <v>80</v>
      </c>
    </row>
    <row r="3" customFormat="false" ht="15" hidden="false" customHeight="false" outlineLevel="0" collapsed="false">
      <c r="A3" s="5" t="s">
        <v>81</v>
      </c>
      <c r="B3" s="6" t="n">
        <v>19281041</v>
      </c>
      <c r="C3" s="6" t="s">
        <v>82</v>
      </c>
      <c r="D3" s="5" t="s">
        <v>27</v>
      </c>
      <c r="E3" s="5" t="s">
        <v>41</v>
      </c>
      <c r="F3" s="7" t="n">
        <v>3.2</v>
      </c>
      <c r="G3" s="7" t="n">
        <v>0.0028</v>
      </c>
      <c r="H3" s="8" t="n">
        <v>2410</v>
      </c>
      <c r="I3" s="8" t="n">
        <v>7712</v>
      </c>
      <c r="J3" s="6" t="s">
        <v>80</v>
      </c>
    </row>
    <row r="4" customFormat="false" ht="15" hidden="false" customHeight="false" outlineLevel="0" collapsed="false">
      <c r="A4" s="5" t="s">
        <v>83</v>
      </c>
      <c r="B4" s="6" t="n">
        <v>19281042</v>
      </c>
      <c r="C4" s="6" t="s">
        <v>84</v>
      </c>
      <c r="D4" s="5" t="s">
        <v>27</v>
      </c>
      <c r="E4" s="5" t="s">
        <v>31</v>
      </c>
      <c r="F4" s="7" t="n">
        <v>146.5</v>
      </c>
      <c r="G4" s="7" t="n">
        <v>0.0031</v>
      </c>
      <c r="H4" s="8" t="n">
        <v>2410</v>
      </c>
      <c r="I4" s="8" t="n">
        <v>353065</v>
      </c>
      <c r="J4" s="6" t="s">
        <v>80</v>
      </c>
    </row>
    <row r="5" customFormat="false" ht="15" hidden="false" customHeight="false" outlineLevel="0" collapsed="false">
      <c r="A5" s="5" t="s">
        <v>85</v>
      </c>
      <c r="B5" s="6" t="n">
        <v>19281098</v>
      </c>
      <c r="C5" s="6" t="s">
        <v>86</v>
      </c>
      <c r="D5" s="5" t="s">
        <v>31</v>
      </c>
      <c r="E5" s="5" t="s">
        <v>45</v>
      </c>
      <c r="F5" s="7" t="n">
        <v>2.75</v>
      </c>
      <c r="G5" s="7" t="n">
        <v>0.0026</v>
      </c>
      <c r="H5" s="8" t="n">
        <v>2410</v>
      </c>
      <c r="I5" s="8" t="n">
        <v>6627.5</v>
      </c>
      <c r="J5" s="6" t="s">
        <v>80</v>
      </c>
    </row>
    <row r="6" customFormat="false" ht="15" hidden="false" customHeight="false" outlineLevel="0" collapsed="false">
      <c r="A6" s="5" t="s">
        <v>87</v>
      </c>
      <c r="B6" s="6" t="n">
        <v>19281099</v>
      </c>
      <c r="C6" s="6" t="s">
        <v>88</v>
      </c>
      <c r="D6" s="5" t="s">
        <v>31</v>
      </c>
      <c r="E6" s="5" t="s">
        <v>35</v>
      </c>
      <c r="F6" s="7" t="n">
        <v>143.7</v>
      </c>
      <c r="G6" s="7" t="n">
        <v>0.0029</v>
      </c>
      <c r="H6" s="8" t="n">
        <v>2410</v>
      </c>
      <c r="I6" s="8" t="n">
        <v>346317</v>
      </c>
      <c r="J6" s="6" t="s">
        <v>80</v>
      </c>
    </row>
    <row r="7" customFormat="false" ht="15" hidden="false" customHeight="false" outlineLevel="0" collapsed="false">
      <c r="A7" s="5" t="s">
        <v>89</v>
      </c>
      <c r="B7" s="6" t="n">
        <v>19281205</v>
      </c>
      <c r="C7" s="6" t="s">
        <v>90</v>
      </c>
      <c r="D7" s="5" t="s">
        <v>35</v>
      </c>
      <c r="E7" s="5" t="s">
        <v>48</v>
      </c>
      <c r="F7" s="7" t="n">
        <v>1.9</v>
      </c>
      <c r="G7" s="7" t="n">
        <v>0.0024</v>
      </c>
      <c r="H7" s="8" t="n">
        <v>2410</v>
      </c>
      <c r="I7" s="8" t="n">
        <v>4579</v>
      </c>
      <c r="J7" s="6" t="s">
        <v>80</v>
      </c>
    </row>
    <row r="8" customFormat="false" ht="15" hidden="false" customHeight="false" outlineLevel="0" collapsed="false">
      <c r="A8" s="5" t="s">
        <v>91</v>
      </c>
      <c r="B8" s="6" t="n">
        <v>19281206</v>
      </c>
      <c r="C8" s="6" t="s">
        <v>92</v>
      </c>
      <c r="D8" s="5" t="s">
        <v>35</v>
      </c>
      <c r="E8" s="5" t="s">
        <v>38</v>
      </c>
      <c r="F8" s="7" t="n">
        <v>141.7</v>
      </c>
      <c r="G8" s="7" t="n">
        <v>0.003</v>
      </c>
      <c r="H8" s="8" t="n">
        <v>2410</v>
      </c>
      <c r="I8" s="8" t="n">
        <v>341497</v>
      </c>
      <c r="J8" s="6" t="s">
        <v>80</v>
      </c>
    </row>
    <row r="9" customFormat="false" ht="15" hidden="false" customHeight="false" outlineLevel="0" collapsed="false">
      <c r="A9" s="5" t="s">
        <v>93</v>
      </c>
      <c r="B9" s="6" t="n">
        <v>19281512</v>
      </c>
      <c r="C9" s="6" t="s">
        <v>94</v>
      </c>
      <c r="D9" s="5" t="s">
        <v>38</v>
      </c>
      <c r="E9" s="5" t="s">
        <v>51</v>
      </c>
      <c r="F9" s="7" t="n">
        <v>90</v>
      </c>
      <c r="G9" s="7" t="n">
        <v>0.0052</v>
      </c>
      <c r="H9" s="8" t="n">
        <v>2410</v>
      </c>
      <c r="I9" s="8" t="n">
        <v>216900</v>
      </c>
      <c r="J9" s="6" t="s">
        <v>80</v>
      </c>
    </row>
    <row r="10" customFormat="false" ht="15" hidden="false" customHeight="false" outlineLevel="0" collapsed="false">
      <c r="A10" s="5" t="s">
        <v>95</v>
      </c>
      <c r="B10" s="6" t="n">
        <v>19281514</v>
      </c>
      <c r="C10" s="6" t="s">
        <v>96</v>
      </c>
      <c r="D10" s="5" t="s">
        <v>38</v>
      </c>
      <c r="E10" s="5" t="s">
        <v>58</v>
      </c>
      <c r="F10" s="7" t="n">
        <v>51.5</v>
      </c>
      <c r="G10" s="7" t="n">
        <v>0.0033</v>
      </c>
      <c r="H10" s="8" t="n">
        <v>2410</v>
      </c>
      <c r="I10" s="8" t="n">
        <v>124115</v>
      </c>
      <c r="J10" s="6" t="s">
        <v>80</v>
      </c>
    </row>
    <row r="11" customFormat="false" ht="15" hidden="false" customHeight="false" outlineLevel="0" collapsed="false">
      <c r="A11" s="5" t="s">
        <v>97</v>
      </c>
      <c r="B11" s="6" t="n">
        <v>19281699</v>
      </c>
      <c r="C11" s="6" t="s">
        <v>98</v>
      </c>
      <c r="D11" s="5" t="s">
        <v>55</v>
      </c>
      <c r="E11" s="5" t="s">
        <v>58</v>
      </c>
      <c r="F11" s="7" t="n">
        <v>88.1</v>
      </c>
      <c r="G11" s="7" t="n">
        <v>0.0047</v>
      </c>
      <c r="H11" s="8" t="n">
        <v>2410</v>
      </c>
      <c r="I11" s="8" t="n">
        <v>212321</v>
      </c>
      <c r="J11" s="6" t="s">
        <v>80</v>
      </c>
    </row>
    <row r="12" customFormat="false" ht="15" hidden="false" customHeight="false" outlineLevel="0" collapsed="false">
      <c r="A12" s="5" t="s">
        <v>99</v>
      </c>
      <c r="B12" s="6" t="n">
        <v>19281744</v>
      </c>
      <c r="C12" s="6" t="s">
        <v>100</v>
      </c>
      <c r="D12" s="5" t="s">
        <v>58</v>
      </c>
      <c r="E12" s="5" t="s">
        <v>61</v>
      </c>
      <c r="F12" s="7" t="n">
        <v>135</v>
      </c>
      <c r="G12" s="7" t="n">
        <v>0.0061</v>
      </c>
      <c r="H12" s="8" t="n">
        <v>2410</v>
      </c>
      <c r="I12" s="8" t="n">
        <v>325350</v>
      </c>
      <c r="J12" s="6" t="s">
        <v>80</v>
      </c>
    </row>
    <row r="13" customFormat="false" ht="15" hidden="false" customHeight="false" outlineLevel="0" collapsed="false">
      <c r="A13" s="5" t="s">
        <v>101</v>
      </c>
      <c r="B13" s="6" t="n">
        <v>19281803</v>
      </c>
      <c r="C13" s="6" t="s">
        <v>102</v>
      </c>
      <c r="D13" s="5" t="s">
        <v>41</v>
      </c>
      <c r="E13" s="5" t="s">
        <v>65</v>
      </c>
      <c r="F13" s="7" t="n">
        <v>3.15</v>
      </c>
      <c r="G13" s="7" t="n">
        <v>0.0022</v>
      </c>
      <c r="H13" s="8" t="n">
        <v>2410</v>
      </c>
      <c r="I13" s="8" t="n">
        <v>7591.5</v>
      </c>
      <c r="J13" s="6" t="s">
        <v>80</v>
      </c>
    </row>
    <row r="14" customFormat="false" ht="15" hidden="false" customHeight="false" outlineLevel="0" collapsed="false">
      <c r="A14" s="5" t="s">
        <v>103</v>
      </c>
      <c r="B14" s="6" t="n">
        <v>19281804</v>
      </c>
      <c r="C14" s="6" t="s">
        <v>104</v>
      </c>
      <c r="D14" s="5" t="s">
        <v>45</v>
      </c>
      <c r="E14" s="5" t="s">
        <v>65</v>
      </c>
      <c r="F14" s="7" t="n">
        <v>2.7</v>
      </c>
      <c r="G14" s="7" t="n">
        <v>0.0021</v>
      </c>
      <c r="H14" s="8" t="n">
        <v>2410</v>
      </c>
      <c r="I14" s="8" t="n">
        <v>6507</v>
      </c>
      <c r="J14" s="6" t="s">
        <v>80</v>
      </c>
    </row>
    <row r="15" customFormat="false" ht="15" hidden="false" customHeight="false" outlineLevel="0" collapsed="false">
      <c r="A15" s="5" t="s">
        <v>105</v>
      </c>
      <c r="B15" s="6" t="n">
        <v>19281805</v>
      </c>
      <c r="C15" s="6" t="s">
        <v>106</v>
      </c>
      <c r="D15" s="5" t="s">
        <v>48</v>
      </c>
      <c r="E15" s="5" t="s">
        <v>65</v>
      </c>
      <c r="F15" s="7" t="n">
        <v>1.85</v>
      </c>
      <c r="G15" s="7" t="n">
        <v>0.002</v>
      </c>
      <c r="H15" s="8" t="n">
        <v>2410</v>
      </c>
      <c r="I15" s="8" t="n">
        <v>4458.5</v>
      </c>
      <c r="J15" s="6" t="s">
        <v>80</v>
      </c>
    </row>
  </sheetData>
  <autoFilter ref="A1:J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9"/>
    <col collapsed="false" customWidth="true" hidden="false" outlineLevel="0" max="4" min="4" style="1" width="12"/>
    <col collapsed="false" customWidth="true" hidden="false" outlineLevel="0" max="5" min="5" style="1" width="22"/>
    <col collapsed="false" customWidth="true" hidden="false" outlineLevel="0" max="6" min="6" style="1" width="13"/>
    <col collapsed="false" customWidth="true" hidden="false" outlineLevel="0" max="7" min="7" style="1" width="22"/>
    <col collapsed="false" customWidth="true" hidden="false" outlineLevel="0" max="11" min="8" style="1" width="13"/>
    <col collapsed="false" customWidth="true" hidden="false" outlineLevel="0" max="12" min="12" style="1" width="18"/>
    <col collapsed="false" customWidth="true" hidden="false" outlineLevel="0" max="13" min="13" style="1" width="13"/>
    <col collapsed="false" customWidth="true" hidden="false" outlineLevel="0" max="14" min="14" style="1" width="14"/>
    <col collapsed="false" customWidth="true" hidden="false" outlineLevel="0" max="15" min="15" style="1" width="46"/>
  </cols>
  <sheetData>
    <row r="1" customFormat="false" ht="35.05" hidden="false" customHeight="false" outlineLevel="0" collapsed="false">
      <c r="A1" s="4" t="s">
        <v>107</v>
      </c>
      <c r="B1" s="4" t="s">
        <v>68</v>
      </c>
      <c r="C1" s="4" t="s">
        <v>70</v>
      </c>
      <c r="D1" s="4" t="s">
        <v>73</v>
      </c>
      <c r="E1" s="4" t="s">
        <v>108</v>
      </c>
      <c r="F1" s="4" t="s">
        <v>109</v>
      </c>
      <c r="G1" s="4" t="s">
        <v>110</v>
      </c>
      <c r="H1" s="4" t="s">
        <v>111</v>
      </c>
      <c r="I1" s="4" t="s">
        <v>112</v>
      </c>
      <c r="J1" s="4" t="s">
        <v>113</v>
      </c>
      <c r="K1" s="4" t="s">
        <v>114</v>
      </c>
      <c r="L1" s="4" t="s">
        <v>115</v>
      </c>
      <c r="M1" s="4" t="s">
        <v>116</v>
      </c>
      <c r="N1" s="4" t="s">
        <v>117</v>
      </c>
      <c r="O1" s="4" t="s">
        <v>118</v>
      </c>
    </row>
    <row r="2" customFormat="false" ht="15" hidden="false" customHeight="false" outlineLevel="0" collapsed="false">
      <c r="A2" s="6" t="n">
        <v>1</v>
      </c>
      <c r="B2" s="5" t="str">
        <f aca="false">Raw_Transactions!A2</f>
        <v>0x7a10694e97229d8a0d8ff96588926653190d54f2de703b91a5cde3faad506697</v>
      </c>
      <c r="C2" s="6" t="str">
        <f aca="false">Raw_Transactions!C2</f>
        <v>2026-04-02 09:02:11</v>
      </c>
      <c r="D2" s="7" t="n">
        <f aca="false">Raw_Transactions!F2</f>
        <v>150</v>
      </c>
      <c r="E2" s="6" t="str">
        <f aca="false">INDEX(Address_Book!$B$2:$B$14,MATCH(Raw_Transactions!D2,Address_Book!$A$2:$A$14,0))</f>
        <v>Unattributed Source Wallet</v>
      </c>
      <c r="F2" s="6" t="str">
        <f aca="false">INDEX(Address_Book!$C$2:$C$14,MATCH(Raw_Transactions!D2,Address_Book!$A$2:$A$14,0))</f>
        <v>Unattributed</v>
      </c>
      <c r="G2" s="6" t="str">
        <f aca="false">INDEX(Address_Book!$B$2:$B$14,MATCH(Raw_Transactions!E2,Address_Book!$A$2:$A$14,0))</f>
        <v>Subject Wallet</v>
      </c>
      <c r="H2" s="6" t="str">
        <f aca="false">INDEX(Address_Book!$C$2:$C$14,MATCH(Raw_Transactions!E2,Address_Book!$A$2:$A$14,0))</f>
        <v>Subject</v>
      </c>
      <c r="I2" s="9" t="n">
        <f aca="false">D2/150</f>
        <v>1</v>
      </c>
      <c r="J2" s="6" t="n">
        <v>0</v>
      </c>
      <c r="K2" s="6" t="str">
        <f aca="false">IF(OR(F2="Mixer",H2="Mixer"),"YES","NO")</f>
        <v>NO</v>
      </c>
      <c r="L2" s="6" t="str">
        <f aca="false">IF(H2="Exchange","YES - CASH-OUT POINT","NO")</f>
        <v>NO</v>
      </c>
      <c r="M2" s="6" t="str">
        <f aca="false">IF(AND(H2="Peel Recipient",I2&lt;0.05),"YES","NO")</f>
        <v>NO</v>
      </c>
      <c r="N2" s="6" t="str">
        <f aca="false">IF(AND(J2&gt;0,J2&lt;120),"YES","NO")</f>
        <v>NO</v>
      </c>
      <c r="O2" s="6" t="str">
        <f aca="false">IF(K2="YES","Funds enter/exit a mixing service — on-chain trail breaks here; correlation only past this point.",IF(L2&lt;&gt;"NO","Funds reach a known exchange deposit address — subpoena target for off-chain identity.",IF(M2="YES","Small peeled amount split off while bulk continues — classic peel chain layering.",IF(N2="YES","Moved onward within "&amp;J2&amp;" minutes of receipt — consistent with scripted/automated layering.","Bulk transfer continuing the primary chain."))))</f>
        <v>Bulk transfer continuing the primary chain.</v>
      </c>
    </row>
    <row r="3" customFormat="false" ht="15" hidden="false" customHeight="false" outlineLevel="0" collapsed="false">
      <c r="A3" s="6" t="n">
        <v>2</v>
      </c>
      <c r="B3" s="5" t="str">
        <f aca="false">Raw_Transactions!A3</f>
        <v>0x7073968093e899fff80006110147300a3482cecdad8d8ab5bb70bedb5c876b6d</v>
      </c>
      <c r="C3" s="6" t="str">
        <f aca="false">Raw_Transactions!C3</f>
        <v>2026-04-02 09:47:55</v>
      </c>
      <c r="D3" s="7" t="n">
        <f aca="false">Raw_Transactions!F3</f>
        <v>3.2</v>
      </c>
      <c r="E3" s="6" t="str">
        <f aca="false">INDEX(Address_Book!$B$2:$B$14,MATCH(Raw_Transactions!D3,Address_Book!$A$2:$A$14,0))</f>
        <v>Subject Wallet</v>
      </c>
      <c r="F3" s="6" t="str">
        <f aca="false">INDEX(Address_Book!$C$2:$C$14,MATCH(Raw_Transactions!D3,Address_Book!$A$2:$A$14,0))</f>
        <v>Subject</v>
      </c>
      <c r="G3" s="6" t="str">
        <f aca="false">INDEX(Address_Book!$B$2:$B$14,MATCH(Raw_Transactions!E3,Address_Book!$A$2:$A$14,0))</f>
        <v>Peel Wallet A</v>
      </c>
      <c r="H3" s="6" t="str">
        <f aca="false">INDEX(Address_Book!$C$2:$C$14,MATCH(Raw_Transactions!E3,Address_Book!$A$2:$A$14,0))</f>
        <v>Peel Recipient</v>
      </c>
      <c r="I3" s="9" t="n">
        <f aca="false">D3/150</f>
        <v>0.0213333333333333</v>
      </c>
      <c r="J3" s="10" t="n">
        <f aca="false">ROUND((Raw_Transactions!C3-Raw_Transactions!C2)*24*60,0)</f>
        <v>46</v>
      </c>
      <c r="K3" s="6" t="str">
        <f aca="false">IF(OR(F3="Mixer",H3="Mixer"),"YES","NO")</f>
        <v>NO</v>
      </c>
      <c r="L3" s="6" t="str">
        <f aca="false">IF(H3="Exchange","YES - CASH-OUT POINT","NO")</f>
        <v>NO</v>
      </c>
      <c r="M3" s="6" t="str">
        <f aca="false">IF(AND(H3="Peel Recipient",I3&lt;0.05),"YES","NO")</f>
        <v>YES</v>
      </c>
      <c r="N3" s="6" t="str">
        <f aca="false">IF(AND(J3&gt;0,J3&lt;120),"YES","NO")</f>
        <v>YES</v>
      </c>
      <c r="O3" s="6" t="str">
        <f aca="false">IF(K3="YES","Funds enter/exit a mixing service — on-chain trail breaks here; correlation only past this point.",IF(L3&lt;&gt;"NO","Funds reach a known exchange deposit address — subpoena target for off-chain identity.",IF(M3="YES","Small peeled amount split off while bulk continues — classic peel chain layering.",IF(N3="YES","Moved onward within "&amp;J3&amp;" minutes of receipt — consistent with scripted/automated layering.","Bulk transfer continuing the primary chain."))))</f>
        <v>Small peeled amount split off while bulk continues — classic peel chain layering.</v>
      </c>
    </row>
    <row r="4" customFormat="false" ht="15" hidden="false" customHeight="false" outlineLevel="0" collapsed="false">
      <c r="A4" s="6" t="n">
        <v>3</v>
      </c>
      <c r="B4" s="5" t="str">
        <f aca="false">Raw_Transactions!A4</f>
        <v>0x2a6d2d4a89db759e0e6d0135390a9ba572d510bfaff1cd0b2877c2f43272ab53</v>
      </c>
      <c r="C4" s="6" t="str">
        <f aca="false">Raw_Transactions!C4</f>
        <v>2026-04-02 09:49:20</v>
      </c>
      <c r="D4" s="7" t="n">
        <f aca="false">Raw_Transactions!F4</f>
        <v>146.5</v>
      </c>
      <c r="E4" s="6" t="str">
        <f aca="false">INDEX(Address_Book!$B$2:$B$14,MATCH(Raw_Transactions!D4,Address_Book!$A$2:$A$14,0))</f>
        <v>Subject Wallet</v>
      </c>
      <c r="F4" s="6" t="str">
        <f aca="false">INDEX(Address_Book!$C$2:$C$14,MATCH(Raw_Transactions!D4,Address_Book!$A$2:$A$14,0))</f>
        <v>Subject</v>
      </c>
      <c r="G4" s="6" t="str">
        <f aca="false">INDEX(Address_Book!$B$2:$B$14,MATCH(Raw_Transactions!E4,Address_Book!$A$2:$A$14,0))</f>
        <v>Intermediate Wallet 1</v>
      </c>
      <c r="H4" s="6" t="str">
        <f aca="false">INDEX(Address_Book!$C$2:$C$14,MATCH(Raw_Transactions!E4,Address_Book!$A$2:$A$14,0))</f>
        <v>Intermediate</v>
      </c>
      <c r="I4" s="9" t="n">
        <f aca="false">D4/150</f>
        <v>0.976666666666667</v>
      </c>
      <c r="J4" s="10" t="n">
        <f aca="false">ROUND((Raw_Transactions!C4-Raw_Transactions!C3)*24*60,0)</f>
        <v>1</v>
      </c>
      <c r="K4" s="6" t="str">
        <f aca="false">IF(OR(F4="Mixer",H4="Mixer"),"YES","NO")</f>
        <v>NO</v>
      </c>
      <c r="L4" s="6" t="str">
        <f aca="false">IF(H4="Exchange","YES - CASH-OUT POINT","NO")</f>
        <v>NO</v>
      </c>
      <c r="M4" s="6" t="str">
        <f aca="false">IF(AND(H4="Peel Recipient",I4&lt;0.05),"YES","NO")</f>
        <v>NO</v>
      </c>
      <c r="N4" s="6" t="str">
        <f aca="false">IF(AND(J4&gt;0,J4&lt;120),"YES","NO")</f>
        <v>YES</v>
      </c>
      <c r="O4" s="6" t="str">
        <f aca="false">IF(K4="YES","Funds enter/exit a mixing service — on-chain trail breaks here; correlation only past this point.",IF(L4&lt;&gt;"NO","Funds reach a known exchange deposit address — subpoena target for off-chain identity.",IF(M4="YES","Small peeled amount split off while bulk continues — classic peel chain layering.",IF(N4="YES","Moved onward within "&amp;J4&amp;" minutes of receipt — consistent with scripted/automated layering.","Bulk transfer continuing the primary chain."))))</f>
        <v>Moved onward within 1 minutes of receipt — consistent with scripted/automated layering.</v>
      </c>
    </row>
    <row r="5" customFormat="false" ht="15" hidden="false" customHeight="false" outlineLevel="0" collapsed="false">
      <c r="A5" s="6" t="n">
        <v>4</v>
      </c>
      <c r="B5" s="5" t="str">
        <f aca="false">Raw_Transactions!A5</f>
        <v>0xc4ab41e91958f4139d15d20d757faca501fcfa5e4462cc5a4afcaedf5d7e9a9d</v>
      </c>
      <c r="C5" s="6" t="str">
        <f aca="false">Raw_Transactions!C5</f>
        <v>2026-04-02 11:15:02</v>
      </c>
      <c r="D5" s="7" t="n">
        <f aca="false">Raw_Transactions!F5</f>
        <v>2.75</v>
      </c>
      <c r="E5" s="6" t="str">
        <f aca="false">INDEX(Address_Book!$B$2:$B$14,MATCH(Raw_Transactions!D5,Address_Book!$A$2:$A$14,0))</f>
        <v>Intermediate Wallet 1</v>
      </c>
      <c r="F5" s="6" t="str">
        <f aca="false">INDEX(Address_Book!$C$2:$C$14,MATCH(Raw_Transactions!D5,Address_Book!$A$2:$A$14,0))</f>
        <v>Intermediate</v>
      </c>
      <c r="G5" s="6" t="str">
        <f aca="false">INDEX(Address_Book!$B$2:$B$14,MATCH(Raw_Transactions!E5,Address_Book!$A$2:$A$14,0))</f>
        <v>Peel Wallet B</v>
      </c>
      <c r="H5" s="6" t="str">
        <f aca="false">INDEX(Address_Book!$C$2:$C$14,MATCH(Raw_Transactions!E5,Address_Book!$A$2:$A$14,0))</f>
        <v>Peel Recipient</v>
      </c>
      <c r="I5" s="9" t="n">
        <f aca="false">D5/150</f>
        <v>0.0183333333333333</v>
      </c>
      <c r="J5" s="10" t="n">
        <f aca="false">ROUND((Raw_Transactions!C5-Raw_Transactions!C4)*24*60,0)</f>
        <v>86</v>
      </c>
      <c r="K5" s="6" t="str">
        <f aca="false">IF(OR(F5="Mixer",H5="Mixer"),"YES","NO")</f>
        <v>NO</v>
      </c>
      <c r="L5" s="6" t="str">
        <f aca="false">IF(H5="Exchange","YES - CASH-OUT POINT","NO")</f>
        <v>NO</v>
      </c>
      <c r="M5" s="6" t="str">
        <f aca="false">IF(AND(H5="Peel Recipient",I5&lt;0.05),"YES","NO")</f>
        <v>YES</v>
      </c>
      <c r="N5" s="6" t="str">
        <f aca="false">IF(AND(J5&gt;0,J5&lt;120),"YES","NO")</f>
        <v>YES</v>
      </c>
      <c r="O5" s="6" t="str">
        <f aca="false">IF(K5="YES","Funds enter/exit a mixing service — on-chain trail breaks here; correlation only past this point.",IF(L5&lt;&gt;"NO","Funds reach a known exchange deposit address — subpoena target for off-chain identity.",IF(M5="YES","Small peeled amount split off while bulk continues — classic peel chain layering.",IF(N5="YES","Moved onward within "&amp;J5&amp;" minutes of receipt — consistent with scripted/automated layering.","Bulk transfer continuing the primary chain."))))</f>
        <v>Small peeled amount split off while bulk continues — classic peel chain layering.</v>
      </c>
    </row>
    <row r="6" customFormat="false" ht="15" hidden="false" customHeight="false" outlineLevel="0" collapsed="false">
      <c r="A6" s="6" t="n">
        <v>5</v>
      </c>
      <c r="B6" s="5" t="str">
        <f aca="false">Raw_Transactions!A6</f>
        <v>0x7eac2fac3030ebc17c5214b4f25f23edae8859c2151fecd6d6a491074af77740</v>
      </c>
      <c r="C6" s="6" t="str">
        <f aca="false">Raw_Transactions!C6</f>
        <v>2026-04-02 11:18:47</v>
      </c>
      <c r="D6" s="7" t="n">
        <f aca="false">Raw_Transactions!F6</f>
        <v>143.7</v>
      </c>
      <c r="E6" s="6" t="str">
        <f aca="false">INDEX(Address_Book!$B$2:$B$14,MATCH(Raw_Transactions!D6,Address_Book!$A$2:$A$14,0))</f>
        <v>Intermediate Wallet 1</v>
      </c>
      <c r="F6" s="6" t="str">
        <f aca="false">INDEX(Address_Book!$C$2:$C$14,MATCH(Raw_Transactions!D6,Address_Book!$A$2:$A$14,0))</f>
        <v>Intermediate</v>
      </c>
      <c r="G6" s="6" t="str">
        <f aca="false">INDEX(Address_Book!$B$2:$B$14,MATCH(Raw_Transactions!E6,Address_Book!$A$2:$A$14,0))</f>
        <v>Intermediate Wallet 2</v>
      </c>
      <c r="H6" s="6" t="str">
        <f aca="false">INDEX(Address_Book!$C$2:$C$14,MATCH(Raw_Transactions!E6,Address_Book!$A$2:$A$14,0))</f>
        <v>Intermediate</v>
      </c>
      <c r="I6" s="9" t="n">
        <f aca="false">D6/150</f>
        <v>0.958</v>
      </c>
      <c r="J6" s="10" t="n">
        <f aca="false">ROUND((Raw_Transactions!C6-Raw_Transactions!C5)*24*60,0)</f>
        <v>4</v>
      </c>
      <c r="K6" s="6" t="str">
        <f aca="false">IF(OR(F6="Mixer",H6="Mixer"),"YES","NO")</f>
        <v>NO</v>
      </c>
      <c r="L6" s="6" t="str">
        <f aca="false">IF(H6="Exchange","YES - CASH-OUT POINT","NO")</f>
        <v>NO</v>
      </c>
      <c r="M6" s="6" t="str">
        <f aca="false">IF(AND(H6="Peel Recipient",I6&lt;0.05),"YES","NO")</f>
        <v>NO</v>
      </c>
      <c r="N6" s="6" t="str">
        <f aca="false">IF(AND(J6&gt;0,J6&lt;120),"YES","NO")</f>
        <v>YES</v>
      </c>
      <c r="O6" s="6" t="str">
        <f aca="false">IF(K6="YES","Funds enter/exit a mixing service — on-chain trail breaks here; correlation only past this point.",IF(L6&lt;&gt;"NO","Funds reach a known exchange deposit address — subpoena target for off-chain identity.",IF(M6="YES","Small peeled amount split off while bulk continues — classic peel chain layering.",IF(N6="YES","Moved onward within "&amp;J6&amp;" minutes of receipt — consistent with scripted/automated layering.","Bulk transfer continuing the primary chain."))))</f>
        <v>Moved onward within 4 minutes of receipt — consistent with scripted/automated layering.</v>
      </c>
    </row>
    <row r="7" customFormat="false" ht="15" hidden="false" customHeight="false" outlineLevel="0" collapsed="false">
      <c r="A7" s="6" t="n">
        <v>6</v>
      </c>
      <c r="B7" s="5" t="str">
        <f aca="false">Raw_Transactions!A7</f>
        <v>0xd031398196014ed9d40cd2dd0547faa1cbf622a7359d3fd3cdd84686c6ebb24f</v>
      </c>
      <c r="C7" s="6" t="str">
        <f aca="false">Raw_Transactions!C7</f>
        <v>2026-04-02 14:40:33</v>
      </c>
      <c r="D7" s="7" t="n">
        <f aca="false">Raw_Transactions!F7</f>
        <v>1.9</v>
      </c>
      <c r="E7" s="6" t="str">
        <f aca="false">INDEX(Address_Book!$B$2:$B$14,MATCH(Raw_Transactions!D7,Address_Book!$A$2:$A$14,0))</f>
        <v>Intermediate Wallet 2</v>
      </c>
      <c r="F7" s="6" t="str">
        <f aca="false">INDEX(Address_Book!$C$2:$C$14,MATCH(Raw_Transactions!D7,Address_Book!$A$2:$A$14,0))</f>
        <v>Intermediate</v>
      </c>
      <c r="G7" s="6" t="str">
        <f aca="false">INDEX(Address_Book!$B$2:$B$14,MATCH(Raw_Transactions!E7,Address_Book!$A$2:$A$14,0))</f>
        <v>Peel Wallet C</v>
      </c>
      <c r="H7" s="6" t="str">
        <f aca="false">INDEX(Address_Book!$C$2:$C$14,MATCH(Raw_Transactions!E7,Address_Book!$A$2:$A$14,0))</f>
        <v>Peel Recipient</v>
      </c>
      <c r="I7" s="9" t="n">
        <f aca="false">D7/150</f>
        <v>0.0126666666666667</v>
      </c>
      <c r="J7" s="10" t="n">
        <f aca="false">ROUND((Raw_Transactions!C7-Raw_Transactions!C6)*24*60,0)</f>
        <v>202</v>
      </c>
      <c r="K7" s="6" t="str">
        <f aca="false">IF(OR(F7="Mixer",H7="Mixer"),"YES","NO")</f>
        <v>NO</v>
      </c>
      <c r="L7" s="6" t="str">
        <f aca="false">IF(H7="Exchange","YES - CASH-OUT POINT","NO")</f>
        <v>NO</v>
      </c>
      <c r="M7" s="6" t="str">
        <f aca="false">IF(AND(H7="Peel Recipient",I7&lt;0.05),"YES","NO")</f>
        <v>YES</v>
      </c>
      <c r="N7" s="6" t="str">
        <f aca="false">IF(AND(J7&gt;0,J7&lt;120),"YES","NO")</f>
        <v>NO</v>
      </c>
      <c r="O7" s="6" t="str">
        <f aca="false">IF(K7="YES","Funds enter/exit a mixing service — on-chain trail breaks here; correlation only past this point.",IF(L7&lt;&gt;"NO","Funds reach a known exchange deposit address — subpoena target for off-chain identity.",IF(M7="YES","Small peeled amount split off while bulk continues — classic peel chain layering.",IF(N7="YES","Moved onward within "&amp;J7&amp;" minutes of receipt — consistent with scripted/automated layering.","Bulk transfer continuing the primary chain."))))</f>
        <v>Small peeled amount split off while bulk continues — classic peel chain layering.</v>
      </c>
    </row>
    <row r="8" customFormat="false" ht="15" hidden="false" customHeight="false" outlineLevel="0" collapsed="false">
      <c r="A8" s="6" t="n">
        <v>7</v>
      </c>
      <c r="B8" s="5" t="str">
        <f aca="false">Raw_Transactions!A8</f>
        <v>0x3e1f94f29e95acb185b4907e14ffa27027ef1b26475c06153fc1ca448118212f</v>
      </c>
      <c r="C8" s="6" t="str">
        <f aca="false">Raw_Transactions!C8</f>
        <v>2026-04-02 14:44:10</v>
      </c>
      <c r="D8" s="7" t="n">
        <f aca="false">Raw_Transactions!F8</f>
        <v>141.7</v>
      </c>
      <c r="E8" s="6" t="str">
        <f aca="false">INDEX(Address_Book!$B$2:$B$14,MATCH(Raw_Transactions!D8,Address_Book!$A$2:$A$14,0))</f>
        <v>Intermediate Wallet 2</v>
      </c>
      <c r="F8" s="6" t="str">
        <f aca="false">INDEX(Address_Book!$C$2:$C$14,MATCH(Raw_Transactions!D8,Address_Book!$A$2:$A$14,0))</f>
        <v>Intermediate</v>
      </c>
      <c r="G8" s="6" t="str">
        <f aca="false">INDEX(Address_Book!$B$2:$B$14,MATCH(Raw_Transactions!E8,Address_Book!$A$2:$A$14,0))</f>
        <v>Intermediate Wallet 3</v>
      </c>
      <c r="H8" s="6" t="str">
        <f aca="false">INDEX(Address_Book!$C$2:$C$14,MATCH(Raw_Transactions!E8,Address_Book!$A$2:$A$14,0))</f>
        <v>Intermediate</v>
      </c>
      <c r="I8" s="9" t="n">
        <f aca="false">D8/150</f>
        <v>0.944666666666667</v>
      </c>
      <c r="J8" s="10" t="n">
        <f aca="false">ROUND((Raw_Transactions!C8-Raw_Transactions!C7)*24*60,0)</f>
        <v>4</v>
      </c>
      <c r="K8" s="6" t="str">
        <f aca="false">IF(OR(F8="Mixer",H8="Mixer"),"YES","NO")</f>
        <v>NO</v>
      </c>
      <c r="L8" s="6" t="str">
        <f aca="false">IF(H8="Exchange","YES - CASH-OUT POINT","NO")</f>
        <v>NO</v>
      </c>
      <c r="M8" s="6" t="str">
        <f aca="false">IF(AND(H8="Peel Recipient",I8&lt;0.05),"YES","NO")</f>
        <v>NO</v>
      </c>
      <c r="N8" s="6" t="str">
        <f aca="false">IF(AND(J8&gt;0,J8&lt;120),"YES","NO")</f>
        <v>YES</v>
      </c>
      <c r="O8" s="6" t="str">
        <f aca="false">IF(K8="YES","Funds enter/exit a mixing service — on-chain trail breaks here; correlation only past this point.",IF(L8&lt;&gt;"NO","Funds reach a known exchange deposit address — subpoena target for off-chain identity.",IF(M8="YES","Small peeled amount split off while bulk continues — classic peel chain layering.",IF(N8="YES","Moved onward within "&amp;J8&amp;" minutes of receipt — consistent with scripted/automated layering.","Bulk transfer continuing the primary chain."))))</f>
        <v>Moved onward within 4 minutes of receipt — consistent with scripted/automated layering.</v>
      </c>
    </row>
    <row r="9" customFormat="false" ht="15" hidden="false" customHeight="false" outlineLevel="0" collapsed="false">
      <c r="A9" s="6" t="n">
        <v>8</v>
      </c>
      <c r="B9" s="5" t="str">
        <f aca="false">Raw_Transactions!A9</f>
        <v>0xa6121dbdc75af558752b5bc77970b78006f97da30f954dd6bb0081c1bee828bf</v>
      </c>
      <c r="C9" s="6" t="str">
        <f aca="false">Raw_Transactions!C9</f>
        <v>2026-04-02 22:10:05</v>
      </c>
      <c r="D9" s="7" t="n">
        <f aca="false">Raw_Transactions!F9</f>
        <v>90</v>
      </c>
      <c r="E9" s="6" t="str">
        <f aca="false">INDEX(Address_Book!$B$2:$B$14,MATCH(Raw_Transactions!D9,Address_Book!$A$2:$A$14,0))</f>
        <v>Intermediate Wallet 3</v>
      </c>
      <c r="F9" s="6" t="str">
        <f aca="false">INDEX(Address_Book!$C$2:$C$14,MATCH(Raw_Transactions!D9,Address_Book!$A$2:$A$14,0))</f>
        <v>Intermediate</v>
      </c>
      <c r="G9" s="6" t="str">
        <f aca="false">INDEX(Address_Book!$B$2:$B$14,MATCH(Raw_Transactions!E9,Address_Book!$A$2:$A$14,0))</f>
        <v>Mixing Service - Deposit Address</v>
      </c>
      <c r="H9" s="6" t="str">
        <f aca="false">INDEX(Address_Book!$C$2:$C$14,MATCH(Raw_Transactions!E9,Address_Book!$A$2:$A$14,0))</f>
        <v>Mixer</v>
      </c>
      <c r="I9" s="9" t="n">
        <f aca="false">D9/150</f>
        <v>0.6</v>
      </c>
      <c r="J9" s="10" t="n">
        <f aca="false">ROUND((Raw_Transactions!C9-Raw_Transactions!C8)*24*60,0)</f>
        <v>446</v>
      </c>
      <c r="K9" s="6" t="str">
        <f aca="false">IF(OR(F9="Mixer",H9="Mixer"),"YES","NO")</f>
        <v>YES</v>
      </c>
      <c r="L9" s="6" t="str">
        <f aca="false">IF(H9="Exchange","YES - CASH-OUT POINT","NO")</f>
        <v>NO</v>
      </c>
      <c r="M9" s="6" t="str">
        <f aca="false">IF(AND(H9="Peel Recipient",I9&lt;0.05),"YES","NO")</f>
        <v>NO</v>
      </c>
      <c r="N9" s="6" t="str">
        <f aca="false">IF(AND(J9&gt;0,J9&lt;120),"YES","NO")</f>
        <v>NO</v>
      </c>
      <c r="O9" s="6" t="str">
        <f aca="false">IF(K9="YES","Funds enter/exit a mixing service — on-chain trail breaks here; correlation only past this point.",IF(L9&lt;&gt;"NO","Funds reach a known exchange deposit address — subpoena target for off-chain identity.",IF(M9="YES","Small peeled amount split off while bulk continues — classic peel chain layering.",IF(N9="YES","Moved onward within "&amp;J9&amp;" minutes of receipt — consistent with scripted/automated layering.","Bulk transfer continuing the primary chain."))))</f>
        <v>Funds enter/exit a mixing service — on-chain trail breaks here; correlation only past this point.</v>
      </c>
    </row>
    <row r="10" customFormat="false" ht="15" hidden="false" customHeight="false" outlineLevel="0" collapsed="false">
      <c r="A10" s="6" t="n">
        <v>9</v>
      </c>
      <c r="B10" s="5" t="str">
        <f aca="false">Raw_Transactions!A10</f>
        <v>0xc484c568eede20400f188af886d2793b1b01b7e105d6172f284b60e197871d85</v>
      </c>
      <c r="C10" s="6" t="str">
        <f aca="false">Raw_Transactions!C10</f>
        <v>2026-04-02 22:16:41</v>
      </c>
      <c r="D10" s="7" t="n">
        <f aca="false">Raw_Transactions!F10</f>
        <v>51.5</v>
      </c>
      <c r="E10" s="6" t="str">
        <f aca="false">INDEX(Address_Book!$B$2:$B$14,MATCH(Raw_Transactions!D10,Address_Book!$A$2:$A$14,0))</f>
        <v>Intermediate Wallet 3</v>
      </c>
      <c r="F10" s="6" t="str">
        <f aca="false">INDEX(Address_Book!$C$2:$C$14,MATCH(Raw_Transactions!D10,Address_Book!$A$2:$A$14,0))</f>
        <v>Intermediate</v>
      </c>
      <c r="G10" s="6" t="str">
        <f aca="false">INDEX(Address_Book!$B$2:$B$14,MATCH(Raw_Transactions!E10,Address_Book!$A$2:$A$14,0))</f>
        <v>Consolidation Wallet</v>
      </c>
      <c r="H10" s="6" t="str">
        <f aca="false">INDEX(Address_Book!$C$2:$C$14,MATCH(Raw_Transactions!E10,Address_Book!$A$2:$A$14,0))</f>
        <v>Intermediate</v>
      </c>
      <c r="I10" s="9" t="n">
        <f aca="false">D10/150</f>
        <v>0.343333333333333</v>
      </c>
      <c r="J10" s="10" t="n">
        <f aca="false">ROUND((Raw_Transactions!C10-Raw_Transactions!C9)*24*60,0)</f>
        <v>7</v>
      </c>
      <c r="K10" s="6" t="str">
        <f aca="false">IF(OR(F10="Mixer",H10="Mixer"),"YES","NO")</f>
        <v>NO</v>
      </c>
      <c r="L10" s="6" t="str">
        <f aca="false">IF(H10="Exchange","YES - CASH-OUT POINT","NO")</f>
        <v>NO</v>
      </c>
      <c r="M10" s="6" t="str">
        <f aca="false">IF(AND(H10="Peel Recipient",I10&lt;0.05),"YES","NO")</f>
        <v>NO</v>
      </c>
      <c r="N10" s="6" t="str">
        <f aca="false">IF(AND(J10&gt;0,J10&lt;120),"YES","NO")</f>
        <v>YES</v>
      </c>
      <c r="O10" s="6" t="str">
        <f aca="false">IF(K10="YES","Funds enter/exit a mixing service — on-chain trail breaks here; correlation only past this point.",IF(L10&lt;&gt;"NO","Funds reach a known exchange deposit address — subpoena target for off-chain identity.",IF(M10="YES","Small peeled amount split off while bulk continues — classic peel chain layering.",IF(N10="YES","Moved onward within "&amp;J10&amp;" minutes of receipt — consistent with scripted/automated layering.","Bulk transfer continuing the primary chain."))))</f>
        <v>Moved onward within 7 minutes of receipt — consistent with scripted/automated layering.</v>
      </c>
    </row>
    <row r="11" customFormat="false" ht="15" hidden="false" customHeight="false" outlineLevel="0" collapsed="false">
      <c r="A11" s="6" t="n">
        <v>10</v>
      </c>
      <c r="B11" s="5" t="str">
        <f aca="false">Raw_Transactions!A11</f>
        <v>0xab3aba55b08cb31d4f832f990f189e6e1def2287a7c1612d1748e675333fd59e</v>
      </c>
      <c r="C11" s="6" t="str">
        <f aca="false">Raw_Transactions!C11</f>
        <v>2026-04-03 03:30:18</v>
      </c>
      <c r="D11" s="7" t="n">
        <f aca="false">Raw_Transactions!F11</f>
        <v>88.1</v>
      </c>
      <c r="E11" s="6" t="str">
        <f aca="false">INDEX(Address_Book!$B$2:$B$14,MATCH(Raw_Transactions!D11,Address_Book!$A$2:$A$14,0))</f>
        <v>Mixing Service - Withdrawal Address</v>
      </c>
      <c r="F11" s="6" t="str">
        <f aca="false">INDEX(Address_Book!$C$2:$C$14,MATCH(Raw_Transactions!D11,Address_Book!$A$2:$A$14,0))</f>
        <v>Mixer</v>
      </c>
      <c r="G11" s="6" t="str">
        <f aca="false">INDEX(Address_Book!$B$2:$B$14,MATCH(Raw_Transactions!E11,Address_Book!$A$2:$A$14,0))</f>
        <v>Consolidation Wallet</v>
      </c>
      <c r="H11" s="6" t="str">
        <f aca="false">INDEX(Address_Book!$C$2:$C$14,MATCH(Raw_Transactions!E11,Address_Book!$A$2:$A$14,0))</f>
        <v>Intermediate</v>
      </c>
      <c r="I11" s="9" t="n">
        <f aca="false">D11/150</f>
        <v>0.587333333333333</v>
      </c>
      <c r="J11" s="10" t="n">
        <f aca="false">ROUND((Raw_Transactions!C11-Raw_Transactions!C10)*24*60,0)</f>
        <v>314</v>
      </c>
      <c r="K11" s="6" t="str">
        <f aca="false">IF(OR(F11="Mixer",H11="Mixer"),"YES","NO")</f>
        <v>YES</v>
      </c>
      <c r="L11" s="6" t="str">
        <f aca="false">IF(H11="Exchange","YES - CASH-OUT POINT","NO")</f>
        <v>NO</v>
      </c>
      <c r="M11" s="6" t="str">
        <f aca="false">IF(AND(H11="Peel Recipient",I11&lt;0.05),"YES","NO")</f>
        <v>NO</v>
      </c>
      <c r="N11" s="6" t="str">
        <f aca="false">IF(AND(J11&gt;0,J11&lt;120),"YES","NO")</f>
        <v>NO</v>
      </c>
      <c r="O11" s="6" t="str">
        <f aca="false">IF(K11="YES","Funds enter/exit a mixing service — on-chain trail breaks here; correlation only past this point.",IF(L11&lt;&gt;"NO","Funds reach a known exchange deposit address — subpoena target for off-chain identity.",IF(M11="YES","Small peeled amount split off while bulk continues — classic peel chain layering.",IF(N11="YES","Moved onward within "&amp;J11&amp;" minutes of receipt — consistent with scripted/automated layering.","Bulk transfer continuing the primary chain."))))</f>
        <v>Funds enter/exit a mixing service — on-chain trail breaks here; correlation only past this point.</v>
      </c>
    </row>
    <row r="12" customFormat="false" ht="15" hidden="false" customHeight="false" outlineLevel="0" collapsed="false">
      <c r="A12" s="6" t="n">
        <v>11</v>
      </c>
      <c r="B12" s="5" t="str">
        <f aca="false">Raw_Transactions!A12</f>
        <v>0x2fbaf2b63212613c94e4e64109b11f8426c5bf47f0e50444aa6081d42ed2785a</v>
      </c>
      <c r="C12" s="6" t="str">
        <f aca="false">Raw_Transactions!C12</f>
        <v>2026-04-03 05:05:52</v>
      </c>
      <c r="D12" s="7" t="n">
        <f aca="false">Raw_Transactions!F12</f>
        <v>135</v>
      </c>
      <c r="E12" s="6" t="str">
        <f aca="false">INDEX(Address_Book!$B$2:$B$14,MATCH(Raw_Transactions!D12,Address_Book!$A$2:$A$14,0))</f>
        <v>Consolidation Wallet</v>
      </c>
      <c r="F12" s="6" t="str">
        <f aca="false">INDEX(Address_Book!$C$2:$C$14,MATCH(Raw_Transactions!D12,Address_Book!$A$2:$A$14,0))</f>
        <v>Intermediate</v>
      </c>
      <c r="G12" s="6" t="str">
        <f aca="false">INDEX(Address_Book!$B$2:$B$14,MATCH(Raw_Transactions!E12,Address_Book!$A$2:$A$14,0))</f>
        <v>Exchange Alpha - Deposit Address</v>
      </c>
      <c r="H12" s="6" t="str">
        <f aca="false">INDEX(Address_Book!$C$2:$C$14,MATCH(Raw_Transactions!E12,Address_Book!$A$2:$A$14,0))</f>
        <v>Exchange</v>
      </c>
      <c r="I12" s="9" t="n">
        <f aca="false">D12/150</f>
        <v>0.9</v>
      </c>
      <c r="J12" s="10" t="n">
        <f aca="false">ROUND((Raw_Transactions!C12-Raw_Transactions!C11)*24*60,0)</f>
        <v>96</v>
      </c>
      <c r="K12" s="6" t="str">
        <f aca="false">IF(OR(F12="Mixer",H12="Mixer"),"YES","NO")</f>
        <v>NO</v>
      </c>
      <c r="L12" s="6" t="str">
        <f aca="false">IF(H12="Exchange","YES - CASH-OUT POINT","NO")</f>
        <v>YES - CASH-OUT POINT</v>
      </c>
      <c r="M12" s="6" t="str">
        <f aca="false">IF(AND(H12="Peel Recipient",I12&lt;0.05),"YES","NO")</f>
        <v>NO</v>
      </c>
      <c r="N12" s="6" t="str">
        <f aca="false">IF(AND(J12&gt;0,J12&lt;120),"YES","NO")</f>
        <v>YES</v>
      </c>
      <c r="O12" s="6" t="str">
        <f aca="false">IF(K12="YES","Funds enter/exit a mixing service — on-chain trail breaks here; correlation only past this point.",IF(L12&lt;&gt;"NO","Funds reach a known exchange deposit address — subpoena target for off-chain identity.",IF(M12="YES","Small peeled amount split off while bulk continues — classic peel chain layering.",IF(N12="YES","Moved onward within "&amp;J12&amp;" minutes of receipt — consistent with scripted/automated layering.","Bulk transfer continuing the primary chain."))))</f>
        <v>Funds reach a known exchange deposit address — subpoena target for off-chain identity.</v>
      </c>
    </row>
    <row r="13" customFormat="false" ht="15" hidden="false" customHeight="false" outlineLevel="0" collapsed="false">
      <c r="A13" s="6" t="n">
        <v>12</v>
      </c>
      <c r="B13" s="5" t="str">
        <f aca="false">Raw_Transactions!A13</f>
        <v>0xffad7f17ef949a6dfe3f042aed5777d10044a0709404b26760146a8be39cd962</v>
      </c>
      <c r="C13" s="6" t="str">
        <f aca="false">Raw_Transactions!C13</f>
        <v>2026-04-03 08:00:09</v>
      </c>
      <c r="D13" s="7" t="n">
        <f aca="false">Raw_Transactions!F13</f>
        <v>3.15</v>
      </c>
      <c r="E13" s="6" t="str">
        <f aca="false">INDEX(Address_Book!$B$2:$B$14,MATCH(Raw_Transactions!D13,Address_Book!$A$2:$A$14,0))</f>
        <v>Peel Wallet A</v>
      </c>
      <c r="F13" s="6" t="str">
        <f aca="false">INDEX(Address_Book!$C$2:$C$14,MATCH(Raw_Transactions!D13,Address_Book!$A$2:$A$14,0))</f>
        <v>Peel Recipient</v>
      </c>
      <c r="G13" s="6" t="str">
        <f aca="false">INDEX(Address_Book!$B$2:$B$14,MATCH(Raw_Transactions!E13,Address_Book!$A$2:$A$14,0))</f>
        <v>Exchange Beta - Deposit Address</v>
      </c>
      <c r="H13" s="6" t="str">
        <f aca="false">INDEX(Address_Book!$C$2:$C$14,MATCH(Raw_Transactions!E13,Address_Book!$A$2:$A$14,0))</f>
        <v>Exchange</v>
      </c>
      <c r="I13" s="9" t="n">
        <f aca="false">D13/150</f>
        <v>0.021</v>
      </c>
      <c r="J13" s="10" t="n">
        <f aca="false">ROUND((Raw_Transactions!C13-Raw_Transactions!C12)*24*60,0)</f>
        <v>174</v>
      </c>
      <c r="K13" s="6" t="str">
        <f aca="false">IF(OR(F13="Mixer",H13="Mixer"),"YES","NO")</f>
        <v>NO</v>
      </c>
      <c r="L13" s="6" t="str">
        <f aca="false">IF(H13="Exchange","YES - CASH-OUT POINT","NO")</f>
        <v>YES - CASH-OUT POINT</v>
      </c>
      <c r="M13" s="6" t="str">
        <f aca="false">IF(AND(H13="Peel Recipient",I13&lt;0.05),"YES","NO")</f>
        <v>NO</v>
      </c>
      <c r="N13" s="6" t="str">
        <f aca="false">IF(AND(J13&gt;0,J13&lt;120),"YES","NO")</f>
        <v>NO</v>
      </c>
      <c r="O13" s="6" t="str">
        <f aca="false">IF(K13="YES","Funds enter/exit a mixing service — on-chain trail breaks here; correlation only past this point.",IF(L13&lt;&gt;"NO","Funds reach a known exchange deposit address — subpoena target for off-chain identity.",IF(M13="YES","Small peeled amount split off while bulk continues — classic peel chain layering.",IF(N13="YES","Moved onward within "&amp;J13&amp;" minutes of receipt — consistent with scripted/automated layering.","Bulk transfer continuing the primary chain."))))</f>
        <v>Funds reach a known exchange deposit address — subpoena target for off-chain identity.</v>
      </c>
    </row>
    <row r="14" customFormat="false" ht="15" hidden="false" customHeight="false" outlineLevel="0" collapsed="false">
      <c r="A14" s="6" t="n">
        <v>13</v>
      </c>
      <c r="B14" s="5" t="str">
        <f aca="false">Raw_Transactions!A14</f>
        <v>0x78aa18076941e938503eb54036aca0d877590909c7c6894aaff45650cae5f655</v>
      </c>
      <c r="C14" s="6" t="str">
        <f aca="false">Raw_Transactions!C14</f>
        <v>2026-04-03 08:05:37</v>
      </c>
      <c r="D14" s="7" t="n">
        <f aca="false">Raw_Transactions!F14</f>
        <v>2.7</v>
      </c>
      <c r="E14" s="6" t="str">
        <f aca="false">INDEX(Address_Book!$B$2:$B$14,MATCH(Raw_Transactions!D14,Address_Book!$A$2:$A$14,0))</f>
        <v>Peel Wallet B</v>
      </c>
      <c r="F14" s="6" t="str">
        <f aca="false">INDEX(Address_Book!$C$2:$C$14,MATCH(Raw_Transactions!D14,Address_Book!$A$2:$A$14,0))</f>
        <v>Peel Recipient</v>
      </c>
      <c r="G14" s="6" t="str">
        <f aca="false">INDEX(Address_Book!$B$2:$B$14,MATCH(Raw_Transactions!E14,Address_Book!$A$2:$A$14,0))</f>
        <v>Exchange Beta - Deposit Address</v>
      </c>
      <c r="H14" s="6" t="str">
        <f aca="false">INDEX(Address_Book!$C$2:$C$14,MATCH(Raw_Transactions!E14,Address_Book!$A$2:$A$14,0))</f>
        <v>Exchange</v>
      </c>
      <c r="I14" s="9" t="n">
        <f aca="false">D14/150</f>
        <v>0.018</v>
      </c>
      <c r="J14" s="10" t="n">
        <f aca="false">ROUND((Raw_Transactions!C14-Raw_Transactions!C13)*24*60,0)</f>
        <v>5</v>
      </c>
      <c r="K14" s="6" t="str">
        <f aca="false">IF(OR(F14="Mixer",H14="Mixer"),"YES","NO")</f>
        <v>NO</v>
      </c>
      <c r="L14" s="6" t="str">
        <f aca="false">IF(H14="Exchange","YES - CASH-OUT POINT","NO")</f>
        <v>YES - CASH-OUT POINT</v>
      </c>
      <c r="M14" s="6" t="str">
        <f aca="false">IF(AND(H14="Peel Recipient",I14&lt;0.05),"YES","NO")</f>
        <v>NO</v>
      </c>
      <c r="N14" s="6" t="str">
        <f aca="false">IF(AND(J14&gt;0,J14&lt;120),"YES","NO")</f>
        <v>YES</v>
      </c>
      <c r="O14" s="6" t="str">
        <f aca="false">IF(K14="YES","Funds enter/exit a mixing service — on-chain trail breaks here; correlation only past this point.",IF(L14&lt;&gt;"NO","Funds reach a known exchange deposit address — subpoena target for off-chain identity.",IF(M14="YES","Small peeled amount split off while bulk continues — classic peel chain layering.",IF(N14="YES","Moved onward within "&amp;J14&amp;" minutes of receipt — consistent with scripted/automated layering.","Bulk transfer continuing the primary chain."))))</f>
        <v>Funds reach a known exchange deposit address — subpoena target for off-chain identity.</v>
      </c>
    </row>
    <row r="15" customFormat="false" ht="15" hidden="false" customHeight="false" outlineLevel="0" collapsed="false">
      <c r="A15" s="6" t="n">
        <v>14</v>
      </c>
      <c r="B15" s="5" t="str">
        <f aca="false">Raw_Transactions!A15</f>
        <v>0x403907a08a14fd30f79bddf9e94c07be0a084f707a6204d631af216e1160a226</v>
      </c>
      <c r="C15" s="6" t="str">
        <f aca="false">Raw_Transactions!C15</f>
        <v>2026-04-03 08:11:14</v>
      </c>
      <c r="D15" s="7" t="n">
        <f aca="false">Raw_Transactions!F15</f>
        <v>1.85</v>
      </c>
      <c r="E15" s="6" t="str">
        <f aca="false">INDEX(Address_Book!$B$2:$B$14,MATCH(Raw_Transactions!D15,Address_Book!$A$2:$A$14,0))</f>
        <v>Peel Wallet C</v>
      </c>
      <c r="F15" s="6" t="str">
        <f aca="false">INDEX(Address_Book!$C$2:$C$14,MATCH(Raw_Transactions!D15,Address_Book!$A$2:$A$14,0))</f>
        <v>Peel Recipient</v>
      </c>
      <c r="G15" s="6" t="str">
        <f aca="false">INDEX(Address_Book!$B$2:$B$14,MATCH(Raw_Transactions!E15,Address_Book!$A$2:$A$14,0))</f>
        <v>Exchange Beta - Deposit Address</v>
      </c>
      <c r="H15" s="6" t="str">
        <f aca="false">INDEX(Address_Book!$C$2:$C$14,MATCH(Raw_Transactions!E15,Address_Book!$A$2:$A$14,0))</f>
        <v>Exchange</v>
      </c>
      <c r="I15" s="9" t="n">
        <f aca="false">D15/150</f>
        <v>0.0123333333333333</v>
      </c>
      <c r="J15" s="10" t="n">
        <f aca="false">ROUND((Raw_Transactions!C15-Raw_Transactions!C14)*24*60,0)</f>
        <v>6</v>
      </c>
      <c r="K15" s="6" t="str">
        <f aca="false">IF(OR(F15="Mixer",H15="Mixer"),"YES","NO")</f>
        <v>NO</v>
      </c>
      <c r="L15" s="6" t="str">
        <f aca="false">IF(H15="Exchange","YES - CASH-OUT POINT","NO")</f>
        <v>YES - CASH-OUT POINT</v>
      </c>
      <c r="M15" s="6" t="str">
        <f aca="false">IF(AND(H15="Peel Recipient",I15&lt;0.05),"YES","NO")</f>
        <v>NO</v>
      </c>
      <c r="N15" s="6" t="str">
        <f aca="false">IF(AND(J15&gt;0,J15&lt;120),"YES","NO")</f>
        <v>YES</v>
      </c>
      <c r="O15" s="6" t="str">
        <f aca="false">IF(K15="YES","Funds enter/exit a mixing service — on-chain trail breaks here; correlation only past this point.",IF(L15&lt;&gt;"NO","Funds reach a known exchange deposit address — subpoena target for off-chain identity.",IF(M15="YES","Small peeled amount split off while bulk continues — classic peel chain layering.",IF(N15="YES","Moved onward within "&amp;J15&amp;" minutes of receipt — consistent with scripted/automated layering.","Bulk transfer continuing the primary chain."))))</f>
        <v>Funds reach a known exchange deposit address — subpoena target for off-chain identity.</v>
      </c>
    </row>
  </sheetData>
  <autoFilter ref="A1:O15"/>
  <conditionalFormatting sqref="A2:O15">
    <cfRule type="expression" priority="2" aboveAverage="0" equalAverage="0" bottom="0" percent="0" rank="0" text="" dxfId="7">
      <formula>$K2="YES"</formula>
    </cfRule>
    <cfRule type="expression" priority="3" aboveAverage="0" equalAverage="0" bottom="0" percent="0" rank="0" text="" dxfId="8">
      <formula>$L2&lt;&gt;"NO"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2026-09-30T01:45:54Z</dcterms:created>
  <dc:creator>openpyxl</dc:creator>
  <dc:description/>
  <dc:language>en-US</dc:language>
  <cp:lastModifiedBy/>
  <dcterms:modified xsi:type="dcterms:W3CDTF">2026-09-30T01:45:54Z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